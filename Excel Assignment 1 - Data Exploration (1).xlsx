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730"/>
  </bookViews>
  <sheets>
    <sheet name="Dataset" sheetId="1" r:id="rId1"/>
  </sheets>
  <definedNames>
    <definedName name="_xlnm._FilterDatabase" localSheetId="0" hidden="1">Dataset!$A$1:$H$1</definedName>
  </definedNames>
  <calcPr calcId="152511" calcMode="autoNoTable"/>
  <extLst>
    <ext uri="GoogleSheetsCustomDataVersion2">
      <go:sheetsCustomData xmlns:go="http://customooxmlschemas.google.com/" r:id="" roundtripDataChecksum="hJb8T1ZghnA6qFS/bC5j8xshLTM/vtIaNva7vzkMTCI=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H2" i="1"/>
  <c r="M19" i="1"/>
  <c r="M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M15" i="1"/>
  <c r="G3" i="1"/>
  <c r="M1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M11" i="1"/>
  <c r="M9" i="1"/>
  <c r="M6" i="1"/>
  <c r="M4" i="1"/>
  <c r="M2" i="1"/>
</calcChain>
</file>

<file path=xl/sharedStrings.xml><?xml version="1.0" encoding="utf-8"?>
<sst xmlns="http://schemas.openxmlformats.org/spreadsheetml/2006/main" count="173" uniqueCount="124">
  <si>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</si>
  <si>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</si>
  <si>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</si>
  <si>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</si>
  <si>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</si>
  <si>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</si>
  <si>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</si>
  <si>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</si>
  <si>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</si>
  <si>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</si>
  <si>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</si>
  <si>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</si>
  <si>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</si>
  <si>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</si>
  <si>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</si>
  <si>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</si>
  <si>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</si>
  <si>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</si>
  <si>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</si>
  <si>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</si>
  <si>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</si>
  <si>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</si>
  <si>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</si>
  <si>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</si>
  <si>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</si>
  <si>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</si>
  <si>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</si>
  <si>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</si>
  <si>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</si>
  <si>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</si>
  <si>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</si>
  <si>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</si>
  <si>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</si>
  <si>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</si>
  <si>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</si>
  <si>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</si>
  <si>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</si>
  <si>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</si>
  <si>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</si>
  <si>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</si>
  <si>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</si>
  <si>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</si>
  <si>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</si>
  <si>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</si>
  <si>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</si>
  <si>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</si>
  <si>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</si>
  <si>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</si>
  <si>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</si>
  <si>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</si>
  <si>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</si>
  <si>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</si>
  <si>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</si>
  <si>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</si>
  <si>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</si>
  <si>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</si>
  <si>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</si>
  <si>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</si>
  <si>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</si>
  <si>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</si>
  <si>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</si>
  <si>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</si>
  <si>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</si>
  <si>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</si>
  <si>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</si>
  <si>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</si>
  <si>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</si>
  <si>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</si>
  <si>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</si>
  <si>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</si>
  <si>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</si>
  <si>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</si>
  <si>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</si>
  <si>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</si>
  <si>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</si>
  <si>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</si>
  <si>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</si>
  <si>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</si>
  <si>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</si>
  <si>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</si>
  <si>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</si>
  <si>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</si>
  <si>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</si>
  <si>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</si>
  <si>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</si>
  <si>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</si>
  <si>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</si>
  <si>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</si>
  <si>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</si>
  <si>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</si>
  <si>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</si>
  <si>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</si>
  <si>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</si>
  <si>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</t>
  </si>
  <si>
    <t>SUM(D2:D35)</t>
  </si>
  <si>
    <t>Determine how many products exist in the dataset.</t>
  </si>
  <si>
    <t>COUNT(D2:D35)</t>
  </si>
  <si>
    <t>Calculate the average price of the products.</t>
  </si>
  <si>
    <t>AVERAGE(D2:D35)</t>
  </si>
  <si>
    <t>Identify the minimum price among all products.</t>
  </si>
  <si>
    <t>MIN(D2:D35)</t>
  </si>
  <si>
    <t>Identify the maximum price among all products.</t>
  </si>
  <si>
    <t>MAX(D2:D35)</t>
  </si>
  <si>
    <t>Price Range</t>
  </si>
  <si>
    <t>IF(D2&gt;500,"high","low")</t>
  </si>
  <si>
    <t>If Price ≥ $500 → classify as High Price</t>
  </si>
  <si>
    <t>If Price &lt; $500 → classify as Standard Price</t>
  </si>
  <si>
    <t>Standard Price</t>
  </si>
  <si>
    <t>IF(D2&lt;500,"Standard Price")</t>
  </si>
  <si>
    <t>Use the SUMIF function to calculate the total price of products in the Electronics category.</t>
  </si>
  <si>
    <t>sumif(F2:F35,"Electronics",D2:D35)</t>
  </si>
  <si>
    <t>Use the COUNTIF function to determine the number of products with a price less than $100</t>
  </si>
  <si>
    <t>COUNTIF(D2:D32,"&lt;100")</t>
  </si>
  <si>
    <t>Day</t>
  </si>
  <si>
    <t>Create a new column named Day with the first 2 characters of each</t>
  </si>
  <si>
    <t>Create a new column named Country Code by extracting the last 2</t>
  </si>
  <si>
    <t>Country Code</t>
  </si>
  <si>
    <t>US</t>
  </si>
  <si>
    <t>LEFT(A2,2)</t>
  </si>
  <si>
    <t>RIGHT(A2,2)</t>
  </si>
  <si>
    <t>Month</t>
  </si>
  <si>
    <t>Create a new column named Month by extracting the 4th to 6th</t>
  </si>
  <si>
    <t>JAN</t>
  </si>
  <si>
    <t>MID(A2,4,3)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</si>
</sst>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 Unicode MS"/>
      <family val="2"/>
    </font>
    <font>
      <b/>
      <sz val="10"/>
      <color rgb="FF00000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tabSelected="1" topLeftCell="I1" workbookViewId="0">
      <selection activeCell="H22" sqref="H22"/>
    </sheetView>
  </sheetViews>
  <sheetFormatPr defaultColWidth="12.54296875" defaultRowHeight="15" customHeight="1" x14ac:dyDescent="0.25"/>
  <cols>
    <col min="2" max="2" width="14.1796875" customWidth="1"/>
    <col min="7" max="7" width="13.453125" bestFit="1" customWidth="1"/>
    <col min="8" max="8" width="29.1796875" bestFit="1" customWidth="1"/>
    <col min="9" max="9" width="9" customWidth="1"/>
    <col min="10" max="10" width="14.453125" customWidth="1"/>
    <col min="11" max="11" width="29.1796875" customWidth="1"/>
    <col min="13" max="13" width="45.7265625" bestFit="1" customWidth="1"/>
    <col min="14" max="14" width="33.54296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103</v>
      </c>
      <c r="H1" s="10" t="s">
        <v>107</v>
      </c>
      <c r="I1" s="10" t="s">
        <v>113</v>
      </c>
      <c r="J1" s="10" t="s">
        <v>116</v>
      </c>
      <c r="K1" s="10" t="s">
        <v>120</v>
      </c>
      <c r="L1" s="2"/>
      <c r="M1" s="22" t="s">
        <v>93</v>
      </c>
      <c r="N1" s="22"/>
    </row>
    <row r="2" spans="1:14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12" t="str">
        <f>IF(D2&gt;500,"HIGH","LOW")</f>
        <v>HIGH</v>
      </c>
      <c r="H2" s="15" t="b">
        <f t="shared" ref="H2:H35" si="0">IF(D2&lt;500,"Standard Price")</f>
        <v>0</v>
      </c>
      <c r="I2" s="7" t="str">
        <f>LEFT(A2,2)</f>
        <v>28</v>
      </c>
      <c r="J2" s="7" t="str">
        <f>RIGHT(A2,2)</f>
        <v>US</v>
      </c>
      <c r="K2" s="7" t="str">
        <f>MID(A2,4,3)</f>
        <v>JAN</v>
      </c>
      <c r="L2" s="3"/>
      <c r="M2" s="8">
        <f>SUM(D2:D35)</f>
        <v>10100</v>
      </c>
      <c r="N2" s="8" t="s">
        <v>94</v>
      </c>
    </row>
    <row r="3" spans="1:14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12" t="str">
        <f>IF(D3&gt;500,"HIGH","LOW")</f>
        <v>LOW</v>
      </c>
      <c r="H3" s="15" t="str">
        <f t="shared" si="0"/>
        <v>Standard Price</v>
      </c>
      <c r="I3" s="7" t="str">
        <f t="shared" ref="I3:I35" si="1">LEFT(A3,2)</f>
        <v>15</v>
      </c>
      <c r="J3" s="7" t="str">
        <f t="shared" ref="J3:J35" si="2">RIGHT(A3,2)</f>
        <v>US</v>
      </c>
      <c r="K3" s="7" t="str">
        <f t="shared" ref="K3:K35" si="3">MID(A3,4,3)</f>
        <v>FEB</v>
      </c>
      <c r="L3" s="3"/>
      <c r="M3" s="22" t="s">
        <v>95</v>
      </c>
      <c r="N3" s="22"/>
    </row>
    <row r="4" spans="1:14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12" t="str">
        <f t="shared" ref="G4:G35" si="4">IF(D4&gt;500,"HIGH","LOW")</f>
        <v>LOW</v>
      </c>
      <c r="H4" s="15" t="str">
        <f t="shared" si="0"/>
        <v>Standard Price</v>
      </c>
      <c r="I4" s="7" t="str">
        <f t="shared" si="1"/>
        <v>03</v>
      </c>
      <c r="J4" s="7" t="str">
        <f t="shared" si="2"/>
        <v>US</v>
      </c>
      <c r="K4" s="7" t="str">
        <f t="shared" si="3"/>
        <v>MAR</v>
      </c>
      <c r="L4" s="3"/>
      <c r="M4" s="8">
        <f>COUNT(D2:D35)</f>
        <v>34</v>
      </c>
      <c r="N4" s="8" t="s">
        <v>96</v>
      </c>
    </row>
    <row r="5" spans="1:14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12" t="str">
        <f t="shared" si="4"/>
        <v>HIGH</v>
      </c>
      <c r="H5" s="15" t="b">
        <f t="shared" si="0"/>
        <v>0</v>
      </c>
      <c r="I5" s="7" t="str">
        <f t="shared" si="1"/>
        <v>11</v>
      </c>
      <c r="J5" s="7" t="str">
        <f t="shared" si="2"/>
        <v>US</v>
      </c>
      <c r="K5" s="7" t="str">
        <f t="shared" si="3"/>
        <v>APR</v>
      </c>
      <c r="L5" s="3"/>
      <c r="M5" s="22" t="s">
        <v>97</v>
      </c>
      <c r="N5" s="22"/>
    </row>
    <row r="6" spans="1:14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12" t="str">
        <f t="shared" si="4"/>
        <v>LOW</v>
      </c>
      <c r="H6" s="15" t="str">
        <f t="shared" si="0"/>
        <v>Standard Price</v>
      </c>
      <c r="I6" s="7" t="str">
        <f t="shared" si="1"/>
        <v>22</v>
      </c>
      <c r="J6" s="7" t="str">
        <f t="shared" si="2"/>
        <v>US</v>
      </c>
      <c r="K6" s="7" t="str">
        <f t="shared" si="3"/>
        <v>MAY</v>
      </c>
      <c r="L6" s="3"/>
      <c r="M6" s="8">
        <f>AVERAGE(D2:D35)</f>
        <v>297.05882352941177</v>
      </c>
      <c r="N6" s="8" t="s">
        <v>98</v>
      </c>
    </row>
    <row r="7" spans="1:14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12" t="str">
        <f t="shared" si="4"/>
        <v>LOW</v>
      </c>
      <c r="H7" s="15" t="str">
        <f t="shared" si="0"/>
        <v>Standard Price</v>
      </c>
      <c r="I7" s="7" t="str">
        <f t="shared" si="1"/>
        <v>07</v>
      </c>
      <c r="J7" s="7" t="str">
        <f t="shared" si="2"/>
        <v>UK</v>
      </c>
      <c r="K7" s="7" t="str">
        <f t="shared" si="3"/>
        <v>JUN</v>
      </c>
      <c r="L7" s="3"/>
      <c r="M7" s="6"/>
      <c r="N7" s="6"/>
    </row>
    <row r="8" spans="1:14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12" t="str">
        <f t="shared" si="4"/>
        <v>LOW</v>
      </c>
      <c r="H8" s="15" t="str">
        <f t="shared" si="0"/>
        <v>Standard Price</v>
      </c>
      <c r="I8" s="7" t="str">
        <f t="shared" si="1"/>
        <v>19</v>
      </c>
      <c r="J8" s="7" t="str">
        <f t="shared" si="2"/>
        <v>UK</v>
      </c>
      <c r="K8" s="7" t="str">
        <f t="shared" si="3"/>
        <v>JUL</v>
      </c>
      <c r="L8" s="3"/>
      <c r="M8" s="17" t="s">
        <v>99</v>
      </c>
      <c r="N8" s="17"/>
    </row>
    <row r="9" spans="1:14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12" t="str">
        <f t="shared" si="4"/>
        <v>LOW</v>
      </c>
      <c r="H9" s="15" t="str">
        <f t="shared" si="0"/>
        <v>Standard Price</v>
      </c>
      <c r="I9" s="7" t="str">
        <f t="shared" si="1"/>
        <v>23</v>
      </c>
      <c r="J9" s="7" t="str">
        <f t="shared" si="2"/>
        <v>UK</v>
      </c>
      <c r="K9" s="7" t="str">
        <f t="shared" si="3"/>
        <v>AUG</v>
      </c>
      <c r="L9" s="3"/>
      <c r="M9" s="8">
        <f>MIN(D2:D35)</f>
        <v>30</v>
      </c>
      <c r="N9" s="8" t="s">
        <v>100</v>
      </c>
    </row>
    <row r="10" spans="1:14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12" t="str">
        <f t="shared" si="4"/>
        <v>LOW</v>
      </c>
      <c r="H10" s="15" t="b">
        <f t="shared" si="0"/>
        <v>0</v>
      </c>
      <c r="I10" s="7" t="str">
        <f t="shared" si="1"/>
        <v>05</v>
      </c>
      <c r="J10" s="7" t="str">
        <f t="shared" si="2"/>
        <v>UK</v>
      </c>
      <c r="K10" s="7" t="str">
        <f t="shared" si="3"/>
        <v>SEP</v>
      </c>
      <c r="L10" s="3"/>
      <c r="M10" s="23" t="s">
        <v>101</v>
      </c>
      <c r="N10" s="23"/>
    </row>
    <row r="11" spans="1:14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12" t="str">
        <f t="shared" si="4"/>
        <v>LOW</v>
      </c>
      <c r="H11" s="15" t="str">
        <f t="shared" si="0"/>
        <v>Standard Price</v>
      </c>
      <c r="I11" s="7" t="str">
        <f t="shared" si="1"/>
        <v>14</v>
      </c>
      <c r="J11" s="7" t="str">
        <f t="shared" si="2"/>
        <v>UK</v>
      </c>
      <c r="K11" s="7" t="str">
        <f t="shared" si="3"/>
        <v>OCT</v>
      </c>
      <c r="L11" s="3"/>
      <c r="M11" s="8">
        <f>MAX(D2:D35)</f>
        <v>1000</v>
      </c>
      <c r="N11" s="8" t="s">
        <v>102</v>
      </c>
    </row>
    <row r="12" spans="1:14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12" t="str">
        <f t="shared" si="4"/>
        <v>HIGH</v>
      </c>
      <c r="H12" s="15" t="b">
        <f t="shared" si="0"/>
        <v>0</v>
      </c>
      <c r="I12" s="7" t="str">
        <f t="shared" si="1"/>
        <v>17</v>
      </c>
      <c r="J12" s="7" t="str">
        <f t="shared" si="2"/>
        <v>IN</v>
      </c>
      <c r="K12" s="7" t="str">
        <f t="shared" si="3"/>
        <v>JUN</v>
      </c>
      <c r="L12" s="3"/>
      <c r="M12" s="19" t="s">
        <v>105</v>
      </c>
      <c r="N12" s="19"/>
    </row>
    <row r="13" spans="1:14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12" t="str">
        <f t="shared" si="4"/>
        <v>LOW</v>
      </c>
      <c r="H13" s="15" t="str">
        <f t="shared" si="0"/>
        <v>Standard Price</v>
      </c>
      <c r="I13" s="7" t="str">
        <f t="shared" si="1"/>
        <v>25</v>
      </c>
      <c r="J13" s="7" t="str">
        <f t="shared" si="2"/>
        <v>AU</v>
      </c>
      <c r="K13" s="7" t="str">
        <f t="shared" si="3"/>
        <v>NOV</v>
      </c>
      <c r="L13" s="3"/>
      <c r="M13" s="14" t="str">
        <f>IF(F13&gt;500,"HIGH","LOW")</f>
        <v>HIGH</v>
      </c>
      <c r="N13" s="8" t="s">
        <v>104</v>
      </c>
    </row>
    <row r="14" spans="1:14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12" t="str">
        <f t="shared" si="4"/>
        <v>LOW</v>
      </c>
      <c r="H14" s="15" t="str">
        <f t="shared" si="0"/>
        <v>Standard Price</v>
      </c>
      <c r="I14" s="7" t="str">
        <f t="shared" si="1"/>
        <v>08</v>
      </c>
      <c r="J14" s="7" t="str">
        <f t="shared" si="2"/>
        <v>DE</v>
      </c>
      <c r="K14" s="7" t="str">
        <f t="shared" si="3"/>
        <v>DEC</v>
      </c>
      <c r="L14" s="3"/>
      <c r="M14" s="20" t="s">
        <v>106</v>
      </c>
      <c r="N14" s="17"/>
    </row>
    <row r="15" spans="1:14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12" t="str">
        <f t="shared" si="4"/>
        <v>LOW</v>
      </c>
      <c r="H15" s="15" t="str">
        <f t="shared" si="0"/>
        <v>Standard Price</v>
      </c>
      <c r="I15" s="7" t="str">
        <f t="shared" si="1"/>
        <v>18</v>
      </c>
      <c r="J15" s="7" t="str">
        <f t="shared" si="2"/>
        <v>CA</v>
      </c>
      <c r="K15" s="7" t="str">
        <f t="shared" si="3"/>
        <v>FEB</v>
      </c>
      <c r="L15" s="3"/>
      <c r="M15" s="16" t="str">
        <f>IF(F15&gt;500,"standard price")</f>
        <v>standard price</v>
      </c>
      <c r="N15" s="8" t="s">
        <v>108</v>
      </c>
    </row>
    <row r="16" spans="1:14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12" t="str">
        <f t="shared" si="4"/>
        <v>LOW</v>
      </c>
      <c r="H16" s="15" t="str">
        <f t="shared" si="0"/>
        <v>Standard Price</v>
      </c>
      <c r="I16" s="7" t="str">
        <f t="shared" si="1"/>
        <v>16</v>
      </c>
      <c r="J16" s="7" t="str">
        <f t="shared" si="2"/>
        <v>ES</v>
      </c>
      <c r="K16" s="7" t="str">
        <f t="shared" si="3"/>
        <v>APR</v>
      </c>
      <c r="L16" s="3"/>
      <c r="M16" s="17" t="s">
        <v>109</v>
      </c>
      <c r="N16" s="17"/>
    </row>
    <row r="17" spans="1:14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12" t="str">
        <f t="shared" si="4"/>
        <v>LOW</v>
      </c>
      <c r="H17" s="15" t="str">
        <f t="shared" si="0"/>
        <v>Standard Price</v>
      </c>
      <c r="I17" s="7" t="str">
        <f t="shared" si="1"/>
        <v>21</v>
      </c>
      <c r="J17" s="7" t="str">
        <f t="shared" si="2"/>
        <v>CA</v>
      </c>
      <c r="K17" s="7" t="str">
        <f t="shared" si="3"/>
        <v>AUG</v>
      </c>
      <c r="L17" s="3"/>
      <c r="M17" s="8">
        <f>SUMIF(F2:F35,"electronics",D2:D35)</f>
        <v>8050</v>
      </c>
      <c r="N17" s="8" t="s">
        <v>110</v>
      </c>
    </row>
    <row r="18" spans="1:14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12" t="str">
        <f t="shared" si="4"/>
        <v>LOW</v>
      </c>
      <c r="H18" s="15" t="str">
        <f t="shared" si="0"/>
        <v>Standard Price</v>
      </c>
      <c r="I18" s="7" t="str">
        <f t="shared" si="1"/>
        <v>20</v>
      </c>
      <c r="J18" s="7" t="str">
        <f t="shared" si="2"/>
        <v>CN</v>
      </c>
      <c r="K18" s="7" t="str">
        <f t="shared" si="3"/>
        <v>AUG</v>
      </c>
      <c r="L18" s="3"/>
      <c r="M18" s="20" t="s">
        <v>111</v>
      </c>
      <c r="N18" s="17"/>
    </row>
    <row r="19" spans="1:14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12" t="str">
        <f t="shared" si="4"/>
        <v>HIGH</v>
      </c>
      <c r="H19" s="15" t="b">
        <f t="shared" si="0"/>
        <v>0</v>
      </c>
      <c r="I19" s="7" t="str">
        <f t="shared" si="1"/>
        <v>27</v>
      </c>
      <c r="J19" s="7" t="str">
        <f t="shared" si="2"/>
        <v>IT</v>
      </c>
      <c r="K19" s="7" t="str">
        <f t="shared" si="3"/>
        <v>JAN</v>
      </c>
      <c r="L19" s="11"/>
      <c r="M19" s="8">
        <f>COUNTIF(D2:D35,"&lt;100")</f>
        <v>11</v>
      </c>
      <c r="N19" s="8" t="s">
        <v>112</v>
      </c>
    </row>
    <row r="20" spans="1:14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12" t="str">
        <f t="shared" si="4"/>
        <v>LOW</v>
      </c>
      <c r="H20" s="15" t="str">
        <f t="shared" si="0"/>
        <v>Standard Price</v>
      </c>
      <c r="I20" s="7" t="str">
        <f t="shared" si="1"/>
        <v>01</v>
      </c>
      <c r="J20" s="7" t="str">
        <f t="shared" si="2"/>
        <v>UK</v>
      </c>
      <c r="K20" s="7" t="str">
        <f t="shared" si="3"/>
        <v>MAR</v>
      </c>
      <c r="L20" s="3"/>
    </row>
    <row r="21" spans="1:14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12" t="str">
        <f t="shared" si="4"/>
        <v>LOW</v>
      </c>
      <c r="H21" s="15" t="str">
        <f t="shared" si="0"/>
        <v>Standard Price</v>
      </c>
      <c r="I21" s="7" t="str">
        <f t="shared" si="1"/>
        <v>14</v>
      </c>
      <c r="J21" s="7" t="str">
        <f t="shared" si="2"/>
        <v>US</v>
      </c>
      <c r="K21" s="7" t="str">
        <f t="shared" si="3"/>
        <v>AUG</v>
      </c>
      <c r="L21" s="3"/>
      <c r="M21" s="21" t="s">
        <v>114</v>
      </c>
      <c r="N21" s="21"/>
    </row>
    <row r="22" spans="1:14" ht="15.75" customHeight="1" x14ac:dyDescent="0.3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12" t="str">
        <f t="shared" si="4"/>
        <v>HIGH</v>
      </c>
      <c r="H22" s="15" t="b">
        <f t="shared" si="0"/>
        <v>0</v>
      </c>
      <c r="I22" s="7" t="str">
        <f t="shared" si="1"/>
        <v>14</v>
      </c>
      <c r="J22" s="7" t="str">
        <f t="shared" si="2"/>
        <v>RU</v>
      </c>
      <c r="K22" s="7" t="str">
        <f t="shared" si="3"/>
        <v>MAY</v>
      </c>
      <c r="L22" s="3"/>
      <c r="M22" s="9">
        <v>28</v>
      </c>
      <c r="N22" s="9" t="s">
        <v>118</v>
      </c>
    </row>
    <row r="23" spans="1:14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12" t="str">
        <f t="shared" si="4"/>
        <v>LOW</v>
      </c>
      <c r="H23" s="15" t="str">
        <f t="shared" si="0"/>
        <v>Standard Price</v>
      </c>
      <c r="I23" s="7" t="str">
        <f t="shared" si="1"/>
        <v>09</v>
      </c>
      <c r="J23" s="7" t="str">
        <f t="shared" si="2"/>
        <v>CA</v>
      </c>
      <c r="K23" s="7" t="str">
        <f t="shared" si="3"/>
        <v>JAN</v>
      </c>
      <c r="L23" s="3"/>
    </row>
    <row r="24" spans="1:14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12" t="str">
        <f t="shared" si="4"/>
        <v>LOW</v>
      </c>
      <c r="H24" s="15" t="str">
        <f t="shared" si="0"/>
        <v>Standard Price</v>
      </c>
      <c r="I24" s="7" t="str">
        <f t="shared" si="1"/>
        <v>19</v>
      </c>
      <c r="J24" s="7" t="str">
        <f t="shared" si="2"/>
        <v>BR</v>
      </c>
      <c r="K24" s="7" t="str">
        <f t="shared" si="3"/>
        <v>JUL</v>
      </c>
      <c r="L24" s="3"/>
      <c r="M24" s="17" t="s">
        <v>115</v>
      </c>
      <c r="N24" s="17"/>
    </row>
    <row r="25" spans="1:14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12" t="str">
        <f t="shared" si="4"/>
        <v>LOW</v>
      </c>
      <c r="H25" s="15" t="str">
        <f t="shared" si="0"/>
        <v>Standard Price</v>
      </c>
      <c r="I25" s="7" t="str">
        <f t="shared" si="1"/>
        <v>21</v>
      </c>
      <c r="J25" s="7" t="str">
        <f t="shared" si="2"/>
        <v>CA</v>
      </c>
      <c r="K25" s="7" t="str">
        <f t="shared" si="3"/>
        <v>AUG</v>
      </c>
      <c r="L25" s="5"/>
      <c r="M25" s="13" t="s">
        <v>117</v>
      </c>
      <c r="N25" s="13" t="s">
        <v>119</v>
      </c>
    </row>
    <row r="26" spans="1:14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12" t="str">
        <f t="shared" si="4"/>
        <v>HIGH</v>
      </c>
      <c r="H26" s="15" t="b">
        <f t="shared" si="0"/>
        <v>0</v>
      </c>
      <c r="I26" s="7" t="str">
        <f t="shared" si="1"/>
        <v>29</v>
      </c>
      <c r="J26" s="7" t="str">
        <f t="shared" si="2"/>
        <v>CA</v>
      </c>
      <c r="K26" s="7" t="str">
        <f t="shared" si="3"/>
        <v>SEP</v>
      </c>
      <c r="L26" s="3"/>
    </row>
    <row r="27" spans="1:14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12" t="str">
        <f t="shared" si="4"/>
        <v>LOW</v>
      </c>
      <c r="H27" s="15" t="str">
        <f t="shared" si="0"/>
        <v>Standard Price</v>
      </c>
      <c r="I27" s="7" t="str">
        <f t="shared" si="1"/>
        <v>03</v>
      </c>
      <c r="J27" s="7" t="str">
        <f t="shared" si="2"/>
        <v>CA</v>
      </c>
      <c r="K27" s="7" t="str">
        <f t="shared" si="3"/>
        <v>JUN</v>
      </c>
      <c r="L27" s="3"/>
      <c r="M27" s="18" t="s">
        <v>121</v>
      </c>
      <c r="N27" s="18"/>
    </row>
    <row r="28" spans="1:14" ht="15.75" customHeight="1" x14ac:dyDescent="0.3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12" t="str">
        <f t="shared" si="4"/>
        <v>LOW</v>
      </c>
      <c r="H28" s="15" t="str">
        <f t="shared" si="0"/>
        <v>Standard Price</v>
      </c>
      <c r="I28" s="7" t="str">
        <f t="shared" si="1"/>
        <v>11</v>
      </c>
      <c r="J28" s="7" t="str">
        <f t="shared" si="2"/>
        <v>CA</v>
      </c>
      <c r="K28" s="7" t="str">
        <f t="shared" si="3"/>
        <v>JUL</v>
      </c>
      <c r="L28" s="3"/>
      <c r="M28" s="9" t="s">
        <v>122</v>
      </c>
      <c r="N28" s="9" t="s">
        <v>123</v>
      </c>
    </row>
    <row r="29" spans="1:14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12" t="str">
        <f t="shared" si="4"/>
        <v>LOW</v>
      </c>
      <c r="H29" s="15" t="str">
        <f t="shared" si="0"/>
        <v>Standard Price</v>
      </c>
      <c r="I29" s="7" t="str">
        <f t="shared" si="1"/>
        <v>16</v>
      </c>
      <c r="J29" s="7" t="str">
        <f t="shared" si="2"/>
        <v>ES</v>
      </c>
      <c r="K29" s="7" t="str">
        <f t="shared" si="3"/>
        <v>APR</v>
      </c>
      <c r="L29" s="5"/>
    </row>
    <row r="30" spans="1:14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12" t="str">
        <f t="shared" si="4"/>
        <v>LOW</v>
      </c>
      <c r="H30" s="15" t="str">
        <f t="shared" si="0"/>
        <v>Standard Price</v>
      </c>
      <c r="I30" s="7" t="str">
        <f t="shared" si="1"/>
        <v>07</v>
      </c>
      <c r="J30" s="7" t="str">
        <f t="shared" si="2"/>
        <v>CA</v>
      </c>
      <c r="K30" s="7" t="str">
        <f t="shared" si="3"/>
        <v>MAR</v>
      </c>
      <c r="L30" s="3"/>
    </row>
    <row r="31" spans="1:14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12" t="str">
        <f t="shared" si="4"/>
        <v>LOW</v>
      </c>
      <c r="H31" s="15" t="str">
        <f t="shared" si="0"/>
        <v>Standard Price</v>
      </c>
      <c r="I31" s="7" t="str">
        <f t="shared" si="1"/>
        <v>13</v>
      </c>
      <c r="J31" s="7" t="str">
        <f t="shared" si="2"/>
        <v>CA</v>
      </c>
      <c r="K31" s="7" t="str">
        <f t="shared" si="3"/>
        <v>APR</v>
      </c>
      <c r="L31" s="3"/>
    </row>
    <row r="32" spans="1:14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12" t="str">
        <f t="shared" si="4"/>
        <v>LOW</v>
      </c>
      <c r="H32" s="15" t="str">
        <f t="shared" si="0"/>
        <v>Standard Price</v>
      </c>
      <c r="I32" s="7" t="str">
        <f t="shared" si="1"/>
        <v>24</v>
      </c>
      <c r="J32" s="7" t="str">
        <f t="shared" si="2"/>
        <v>CA</v>
      </c>
      <c r="K32" s="7" t="str">
        <f t="shared" si="3"/>
        <v>MAY</v>
      </c>
      <c r="L32" s="3"/>
    </row>
    <row r="33" spans="1:12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12" t="str">
        <f t="shared" si="4"/>
        <v>LOW</v>
      </c>
      <c r="H33" s="15" t="str">
        <f t="shared" si="0"/>
        <v>Standard Price</v>
      </c>
      <c r="I33" s="7" t="str">
        <f t="shared" si="1"/>
        <v>02</v>
      </c>
      <c r="J33" s="7" t="str">
        <f t="shared" si="2"/>
        <v>CA</v>
      </c>
      <c r="K33" s="7" t="str">
        <f t="shared" si="3"/>
        <v>DEC</v>
      </c>
      <c r="L33" s="3"/>
    </row>
    <row r="34" spans="1:12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12" t="str">
        <f t="shared" si="4"/>
        <v>HIGH</v>
      </c>
      <c r="H34" s="15" t="b">
        <f t="shared" si="0"/>
        <v>0</v>
      </c>
      <c r="I34" s="7" t="str">
        <f t="shared" si="1"/>
        <v>17</v>
      </c>
      <c r="J34" s="7" t="str">
        <f t="shared" si="2"/>
        <v>IN</v>
      </c>
      <c r="K34" s="7" t="str">
        <f t="shared" si="3"/>
        <v>JUN</v>
      </c>
      <c r="L34" s="3"/>
    </row>
    <row r="35" spans="1:12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12" t="str">
        <f t="shared" si="4"/>
        <v>LOW</v>
      </c>
      <c r="H35" s="15" t="str">
        <f t="shared" si="0"/>
        <v>Standard Price</v>
      </c>
      <c r="I35" s="7" t="str">
        <f t="shared" si="1"/>
        <v>09</v>
      </c>
      <c r="J35" s="7" t="str">
        <f t="shared" si="2"/>
        <v>FR</v>
      </c>
      <c r="K35" s="7" t="str">
        <f t="shared" si="3"/>
        <v>JUL</v>
      </c>
      <c r="L35" s="3"/>
    </row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M1:N1"/>
    <mergeCell ref="M5:N5"/>
    <mergeCell ref="M3:N3"/>
    <mergeCell ref="M8:N8"/>
    <mergeCell ref="M10:N10"/>
    <mergeCell ref="M24:N24"/>
    <mergeCell ref="M27:N27"/>
    <mergeCell ref="M12:N12"/>
    <mergeCell ref="M14:N14"/>
    <mergeCell ref="M16:N16"/>
    <mergeCell ref="M18:N18"/>
    <mergeCell ref="M21:N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2026-09-21T14:25:32Z</dcterms:modified>
</cp:coreProperties>
</file>